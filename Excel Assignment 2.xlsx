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A60BA2D7-D9D9-4427-9BA9-42D94833C93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structions" sheetId="1" r:id="rId1"/>
    <sheet name="Dataset" sheetId="2" r:id="rId2"/>
    <sheet name="Answer 1(a,b)2(a,b)" sheetId="5" r:id="rId3"/>
    <sheet name="Ans 2(c), 3, 4, 5, 6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2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2" i="5"/>
  <c r="K2" i="5" a="1"/>
  <c r="K2" i="5" s="1"/>
  <c r="I2" i="5"/>
  <c r="H2" i="5"/>
  <c r="H3" i="5"/>
  <c r="H4" i="5"/>
  <c r="H5" i="5"/>
  <c r="H6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<sst xmlns="http://schemas.openxmlformats.org/spreadsheetml/2006/main" count="430" uniqueCount="125">
  <si>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</si>
  <si>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</si>
  <si>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</si>
  <si>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</si>
  <si>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</si>
  <si>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</si>
  <si>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</si>
  <si>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</si>
  <si>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</si>
  <si>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</si>
  <si>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</si>
  <si>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</si>
  <si>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</si>
  <si>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</si>
  <si>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</si>
  <si>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</si>
  <si>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</si>
  <si>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</si>
  <si>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</si>
  <si>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</si>
  <si>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</si>
  <si>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</si>
  <si>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</si>
  <si>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</si>
  <si>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</si>
  <si>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</si>
  <si>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</si>
  <si>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</si>
  <si>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</si>
  <si>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</si>
  <si>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</si>
  <si>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</si>
  <si>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</si>
  <si>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</si>
  <si>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</si>
  <si>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</si>
  <si>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</si>
  <si>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</si>
  <si>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</si>
  <si>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</si>
  <si>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</si>
  <si>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</si>
  <si>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</si>
  <si>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</si>
  <si>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</si>
  <si>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</si>
  <si>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</si>
  <si>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</si>
  <si>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</si>
  <si>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</si>
  <si>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</si>
  <si>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</si>
  <si>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</si>
  <si>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</si>
  <si>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</si>
  <si>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</si>
  <si>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</si>
  <si>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</si>
  <si>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</si>
  <si>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</si>
  <si>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</si>
  <si>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</si>
  <si>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</si>
  <si>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</si>
  <si>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</si>
  <si>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</si>
  <si>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</si>
  <si>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</si>
  <si>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</si>
  <si>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</si>
  <si>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</si>
  <si>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</si>
  <si>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</si>
  <si>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</si>
  <si>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</si>
  <si>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</si>
  <si>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</si>
  <si>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</si>
  <si>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</si>
  <si>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</si>
  <si>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</si>
  <si>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</si>
  <si>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</si>
  <si>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</si>
  <si>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</si>
  <si>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</si>
  <si>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</si>
  <si>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</si>
  <si>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</si>
  <si>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</si>
  <si>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</si>
  <si>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</si>
  <si>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</si>
  <si>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</si>
  <si>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</si>
  <si>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</si>
  <si>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</si>
  <si>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</si>
  <si>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</si>
  <si>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</si>
  <si>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</si>
  <si>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</si>
  <si>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</si>
  <si>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</si>
  <si>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</si>
  <si>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</si>
  <si>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</si>
  <si>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</si>
  <si>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</si>
  <si>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</si>
  <si>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</si>
  <si>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</si>
  <si>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</si>
  <si>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</si>
  <si>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</si>
  <si>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</si>
  <si>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Present/Missing</t>
  </si>
  <si>
    <t>Missing Categories</t>
  </si>
  <si>
    <t>Inconsistent Text in Product Name Column</t>
  </si>
  <si>
    <t>Typos in Category Column</t>
  </si>
  <si>
    <t>Manufacturing Date</t>
  </si>
  <si>
    <t>Country Code</t>
  </si>
  <si>
    <t>Product Brand</t>
  </si>
  <si>
    <t>Manufacturing Month</t>
  </si>
  <si>
    <t>Manufacturing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</si>
</sst>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164" fontId="5" fillId="0" borderId="0" xfId="0" applyNumberFormat="1" applyFont="1"/>
    <xf numFmtId="164" fontId="5" fillId="3" borderId="0" xfId="0" applyNumberFormat="1" applyFont="1" applyFill="1"/>
    <xf numFmtId="165" fontId="0" fillId="0" borderId="0" xfId="0" applyNumberFormat="1" applyFont="1" applyAlignmen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6" sqref="C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D1" sqref="D1:D104857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0C6F-6D87-403A-B71E-A055402A2838}">
  <sheetPr>
    <outlinePr summaryBelow="0" summaryRight="0"/>
  </sheetPr>
  <dimension ref="A1:P1000"/>
  <sheetViews>
    <sheetView workbookViewId="0">
      <selection activeCell="B2" sqref="B2:B35"/>
    </sheetView>
  </sheetViews>
  <sheetFormatPr defaultColWidth="12.6640625" defaultRowHeight="15" customHeight="1" x14ac:dyDescent="0.25"/>
  <cols>
    <col min="1" max="6" width="12.6640625" customWidth="1"/>
    <col min="8" max="8" width="20.109375" bestFit="1" customWidth="1"/>
    <col min="9" max="9" width="17.77734375" bestFit="1" customWidth="1"/>
    <col min="10" max="10" width="39.109375" bestFit="1" customWidth="1"/>
    <col min="11" max="11" width="24.5546875" bestFit="1" customWidth="1"/>
  </cols>
  <sheetData>
    <row r="1" spans="1:16" ht="13.2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H1" s="13" t="s">
        <v>116</v>
      </c>
      <c r="I1" s="13" t="s">
        <v>117</v>
      </c>
      <c r="J1" s="14" t="s">
        <v>118</v>
      </c>
      <c r="K1" s="13" t="s">
        <v>119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H2" s="12">
        <f t="shared" ref="H2:H6" si="0">IF(ISBLANK(D2), "To be determined", D2)</f>
        <v>1000</v>
      </c>
      <c r="I2" t="str">
        <f>IF(ISBLANK(F2),"Uncategorized",F2)</f>
        <v>Electronics</v>
      </c>
      <c r="J2" t="b">
        <f>EXACT(B2,PROPER(B2))</f>
        <v>0</v>
      </c>
      <c r="K2" t="str" cm="1">
        <f t="array" ref="K2:K8">_xlfn.UNIQUE(F2:F35)</f>
        <v>Electronics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H3" s="12">
        <f t="shared" si="0"/>
        <v>80</v>
      </c>
      <c r="I3" t="str">
        <f t="shared" ref="I3:I35" si="1">IF(ISBLANK(F3),"Uncategorized",F3)</f>
        <v>Fashion</v>
      </c>
      <c r="J3" t="b">
        <f t="shared" ref="J3:J35" si="2">EXACT(B3,PROPER(B3))</f>
        <v>1</v>
      </c>
      <c r="K3" t="str">
        <v>Fashion</v>
      </c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H4" s="12">
        <f t="shared" si="0"/>
        <v>130</v>
      </c>
      <c r="I4" t="str">
        <f t="shared" si="1"/>
        <v>Kitchen</v>
      </c>
      <c r="J4" t="b">
        <f t="shared" si="2"/>
        <v>1</v>
      </c>
      <c r="K4" t="str">
        <v>Kitchen</v>
      </c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H5" s="12">
        <f t="shared" si="0"/>
        <v>900</v>
      </c>
      <c r="I5" t="str">
        <f t="shared" si="1"/>
        <v>Electronics</v>
      </c>
      <c r="J5" t="b">
        <f t="shared" si="2"/>
        <v>0</v>
      </c>
      <c r="K5">
        <v>0</v>
      </c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H6" s="12">
        <f t="shared" si="0"/>
        <v>70</v>
      </c>
      <c r="I6" t="str">
        <f t="shared" si="1"/>
        <v>Uncategorized</v>
      </c>
      <c r="J6" t="b">
        <f t="shared" si="2"/>
        <v>1</v>
      </c>
      <c r="K6" t="str">
        <v>Electroni</v>
      </c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  <c r="H7" s="12" t="str">
        <f>IF(ISBLANK(D7), "To be determined", D7)</f>
        <v>To be determined</v>
      </c>
      <c r="I7" t="str">
        <f t="shared" si="1"/>
        <v>Electroni</v>
      </c>
      <c r="J7" t="b">
        <f t="shared" si="2"/>
        <v>1</v>
      </c>
      <c r="K7" t="str">
        <v>Outdoor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  <c r="H8" s="12">
        <f t="shared" ref="H8:H35" si="3">IF(ISBLANK(D8), "To be determined", D8)</f>
        <v>30</v>
      </c>
      <c r="I8" t="str">
        <f t="shared" si="1"/>
        <v>Fashion</v>
      </c>
      <c r="J8" t="b">
        <f t="shared" si="2"/>
        <v>0</v>
      </c>
      <c r="K8" t="str">
        <v>Accessories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  <c r="H9" s="12">
        <f t="shared" si="3"/>
        <v>90</v>
      </c>
      <c r="I9" t="str">
        <f t="shared" si="1"/>
        <v>Kitchen</v>
      </c>
      <c r="J9" t="b">
        <f t="shared" si="2"/>
        <v>1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  <c r="H10" s="12">
        <f t="shared" si="3"/>
        <v>500</v>
      </c>
      <c r="I10" t="str">
        <f t="shared" si="1"/>
        <v>Electronics</v>
      </c>
      <c r="J10" t="b">
        <f t="shared" si="2"/>
        <v>1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  <c r="H11" s="12">
        <f t="shared" si="3"/>
        <v>130</v>
      </c>
      <c r="I11" t="str">
        <f t="shared" si="1"/>
        <v>Outdoor</v>
      </c>
      <c r="J11" t="b">
        <f t="shared" si="2"/>
        <v>1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  <c r="H12" s="12">
        <f t="shared" si="3"/>
        <v>950</v>
      </c>
      <c r="I12" t="str">
        <f t="shared" si="1"/>
        <v>Electronics</v>
      </c>
      <c r="J12" t="b">
        <f t="shared" si="2"/>
        <v>1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  <c r="H13" s="12">
        <f t="shared" si="3"/>
        <v>90</v>
      </c>
      <c r="I13" t="str">
        <f t="shared" si="1"/>
        <v>Uncategorized</v>
      </c>
      <c r="J13" t="b">
        <f t="shared" si="2"/>
        <v>1</v>
      </c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  <c r="H14" s="12">
        <f t="shared" si="3"/>
        <v>120</v>
      </c>
      <c r="I14" t="str">
        <f t="shared" si="1"/>
        <v>Uncategorized</v>
      </c>
      <c r="J14" t="b">
        <f t="shared" si="2"/>
        <v>1</v>
      </c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  <c r="H15" s="12">
        <f t="shared" si="3"/>
        <v>150</v>
      </c>
      <c r="I15" t="str">
        <f t="shared" si="1"/>
        <v>Electroni</v>
      </c>
      <c r="J15" t="b">
        <f t="shared" si="2"/>
        <v>1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  <c r="H16" s="12">
        <f t="shared" si="3"/>
        <v>250</v>
      </c>
      <c r="I16" t="str">
        <f t="shared" si="1"/>
        <v>Electroni</v>
      </c>
      <c r="J16" t="b">
        <f t="shared" si="2"/>
        <v>0</v>
      </c>
    </row>
    <row r="17" spans="1:10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  <c r="H17" s="12">
        <f t="shared" si="3"/>
        <v>50</v>
      </c>
      <c r="I17" t="str">
        <f t="shared" si="1"/>
        <v>Accessories</v>
      </c>
      <c r="J17" t="b">
        <f t="shared" si="2"/>
        <v>1</v>
      </c>
    </row>
    <row r="18" spans="1:10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  <c r="H18" s="12">
        <f t="shared" si="3"/>
        <v>160</v>
      </c>
      <c r="I18" t="str">
        <f t="shared" si="1"/>
        <v>Electroni</v>
      </c>
      <c r="J18" t="b">
        <f t="shared" si="2"/>
        <v>1</v>
      </c>
    </row>
    <row r="19" spans="1:10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  <c r="H19" s="12">
        <f t="shared" si="3"/>
        <v>980</v>
      </c>
      <c r="I19" t="str">
        <f t="shared" si="1"/>
        <v>Electronics</v>
      </c>
      <c r="J19" t="b">
        <f t="shared" si="2"/>
        <v>0</v>
      </c>
    </row>
    <row r="20" spans="1:10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  <c r="H20" s="12">
        <f t="shared" si="3"/>
        <v>150</v>
      </c>
      <c r="I20" t="str">
        <f t="shared" si="1"/>
        <v>Fashion</v>
      </c>
      <c r="J20" t="b">
        <f t="shared" si="2"/>
        <v>1</v>
      </c>
    </row>
    <row r="21" spans="1:10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  <c r="H21" s="12" t="str">
        <f t="shared" si="3"/>
        <v>To be determined</v>
      </c>
      <c r="I21" t="str">
        <f t="shared" si="1"/>
        <v>Outdoor</v>
      </c>
      <c r="J21" t="b">
        <f t="shared" si="2"/>
        <v>1</v>
      </c>
    </row>
    <row r="22" spans="1:10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  <c r="H22" s="12">
        <f t="shared" si="3"/>
        <v>700</v>
      </c>
      <c r="I22" t="str">
        <f t="shared" si="1"/>
        <v>Electronics</v>
      </c>
      <c r="J22" t="b">
        <f t="shared" si="2"/>
        <v>1</v>
      </c>
    </row>
    <row r="23" spans="1:10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  <c r="H23" s="12">
        <f t="shared" si="3"/>
        <v>80</v>
      </c>
      <c r="I23" t="str">
        <f t="shared" si="1"/>
        <v>Kitchen</v>
      </c>
      <c r="J23" t="b">
        <f t="shared" si="2"/>
        <v>1</v>
      </c>
    </row>
    <row r="24" spans="1:10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  <c r="H24" s="12">
        <f t="shared" si="3"/>
        <v>150</v>
      </c>
      <c r="I24" t="str">
        <f t="shared" si="1"/>
        <v>Uncategorized</v>
      </c>
      <c r="J24" t="b">
        <f t="shared" si="2"/>
        <v>1</v>
      </c>
    </row>
    <row r="25" spans="1:10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  <c r="H25" s="12">
        <f t="shared" si="3"/>
        <v>50</v>
      </c>
      <c r="I25" t="str">
        <f t="shared" si="1"/>
        <v>Accessories</v>
      </c>
      <c r="J25" t="b">
        <f t="shared" si="2"/>
        <v>1</v>
      </c>
    </row>
    <row r="26" spans="1:10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  <c r="H26" s="12">
        <f t="shared" si="3"/>
        <v>800</v>
      </c>
      <c r="I26" t="str">
        <f t="shared" si="1"/>
        <v>Electronics</v>
      </c>
      <c r="J26" t="b">
        <f t="shared" si="2"/>
        <v>1</v>
      </c>
    </row>
    <row r="27" spans="1:10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  <c r="H27" s="12" t="str">
        <f t="shared" si="3"/>
        <v>To be determined</v>
      </c>
      <c r="I27" t="str">
        <f t="shared" si="1"/>
        <v>Fashion</v>
      </c>
      <c r="J27" t="b">
        <f t="shared" si="2"/>
        <v>1</v>
      </c>
    </row>
    <row r="28" spans="1:10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  <c r="H28" s="12">
        <f t="shared" si="3"/>
        <v>400</v>
      </c>
      <c r="I28" t="str">
        <f t="shared" si="1"/>
        <v>Kitchen</v>
      </c>
      <c r="J28" t="b">
        <f t="shared" si="2"/>
        <v>1</v>
      </c>
    </row>
    <row r="29" spans="1:10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  <c r="H29" s="12">
        <f t="shared" si="3"/>
        <v>250</v>
      </c>
      <c r="I29" t="str">
        <f t="shared" si="1"/>
        <v>Electroni</v>
      </c>
      <c r="J29" t="b">
        <f t="shared" si="2"/>
        <v>0</v>
      </c>
    </row>
    <row r="30" spans="1:10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  <c r="H30" s="12">
        <f t="shared" si="3"/>
        <v>60</v>
      </c>
      <c r="I30" t="str">
        <f t="shared" si="1"/>
        <v>Fashion</v>
      </c>
      <c r="J30" t="b">
        <f t="shared" si="2"/>
        <v>1</v>
      </c>
    </row>
    <row r="31" spans="1:10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  <c r="H31" s="12">
        <f t="shared" si="3"/>
        <v>40</v>
      </c>
      <c r="I31" t="str">
        <f t="shared" si="1"/>
        <v>Kitchen</v>
      </c>
      <c r="J31" t="b">
        <f t="shared" si="2"/>
        <v>1</v>
      </c>
    </row>
    <row r="32" spans="1:10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  <c r="H32" s="12">
        <f t="shared" si="3"/>
        <v>130</v>
      </c>
      <c r="I32" t="str">
        <f t="shared" si="1"/>
        <v>Electronics</v>
      </c>
      <c r="J32" t="b">
        <f t="shared" si="2"/>
        <v>1</v>
      </c>
    </row>
    <row r="33" spans="1:10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  <c r="H33" s="12">
        <f t="shared" si="3"/>
        <v>50</v>
      </c>
      <c r="I33" t="str">
        <f t="shared" si="1"/>
        <v>Fashion</v>
      </c>
      <c r="J33" t="b">
        <f t="shared" si="2"/>
        <v>1</v>
      </c>
    </row>
    <row r="34" spans="1:10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  <c r="H34" s="12">
        <f t="shared" si="3"/>
        <v>950</v>
      </c>
      <c r="I34" t="str">
        <f t="shared" si="1"/>
        <v>Electronics</v>
      </c>
      <c r="J34" t="b">
        <f t="shared" si="2"/>
        <v>1</v>
      </c>
    </row>
    <row r="35" spans="1:10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  <c r="H35" s="12">
        <f t="shared" si="3"/>
        <v>100</v>
      </c>
      <c r="I35" t="str">
        <f t="shared" si="1"/>
        <v>Accessories</v>
      </c>
      <c r="J35" t="b">
        <f t="shared" si="2"/>
        <v>1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AF19-3F01-4CC8-9862-166D34AEDAD6}">
  <sheetPr>
    <outlinePr summaryBelow="0" summaryRight="0"/>
  </sheetPr>
  <dimension ref="A1:R1000"/>
  <sheetViews>
    <sheetView tabSelected="1" workbookViewId="0">
      <selection activeCell="G19" sqref="G19"/>
    </sheetView>
  </sheetViews>
  <sheetFormatPr defaultColWidth="12.6640625" defaultRowHeight="15" customHeight="1" x14ac:dyDescent="0.25"/>
  <cols>
    <col min="1" max="6" width="12.6640625" customWidth="1"/>
    <col min="7" max="7" width="18.21875" bestFit="1" customWidth="1"/>
    <col min="8" max="8" width="19.6640625" bestFit="1" customWidth="1"/>
    <col min="9" max="9" width="19.6640625" customWidth="1"/>
    <col min="10" max="10" width="13.33203125" bestFit="1" customWidth="1"/>
    <col min="11" max="11" width="21.44140625" bestFit="1" customWidth="1"/>
  </cols>
  <sheetData>
    <row r="1" spans="1:18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3" t="s">
        <v>124</v>
      </c>
      <c r="H1" s="13" t="s">
        <v>123</v>
      </c>
      <c r="I1" s="13" t="s">
        <v>120</v>
      </c>
      <c r="J1" s="9" t="s">
        <v>121</v>
      </c>
      <c r="K1" s="9" t="s">
        <v>122</v>
      </c>
    </row>
    <row r="2" spans="1:18" ht="15.75" customHeight="1" x14ac:dyDescent="0.25">
      <c r="A2" s="10" t="s">
        <v>25</v>
      </c>
      <c r="B2" s="10" t="s">
        <v>61</v>
      </c>
      <c r="C2" s="10" t="s">
        <v>27</v>
      </c>
      <c r="D2" s="15">
        <v>1000</v>
      </c>
      <c r="E2" s="10">
        <v>30</v>
      </c>
      <c r="F2" s="10" t="s">
        <v>28</v>
      </c>
      <c r="G2" s="17" t="str">
        <f>LEFT(A2,2)</f>
        <v>28</v>
      </c>
      <c r="H2" s="17" t="str">
        <f>MID(A2,4,3)</f>
        <v>JAN</v>
      </c>
      <c r="I2" s="17" t="str">
        <f>G2&amp;"-"&amp;H2&amp;"-"&amp;"2026"</f>
        <v>28-JAN-2026</v>
      </c>
      <c r="J2" t="str">
        <f>RIGHT(A2,2)</f>
        <v>US</v>
      </c>
      <c r="K2" t="str">
        <f>B2&amp;" " &amp;C2</f>
        <v>Laptop Dell</v>
      </c>
    </row>
    <row r="3" spans="1:18" ht="15.75" customHeight="1" x14ac:dyDescent="0.25">
      <c r="A3" s="11" t="s">
        <v>29</v>
      </c>
      <c r="B3" s="11" t="s">
        <v>30</v>
      </c>
      <c r="C3" s="11" t="s">
        <v>31</v>
      </c>
      <c r="D3" s="16">
        <v>80</v>
      </c>
      <c r="E3" s="11">
        <v>15</v>
      </c>
      <c r="F3" s="11" t="s">
        <v>32</v>
      </c>
      <c r="G3" s="17" t="str">
        <f t="shared" ref="G3:G32" si="0">LEFT(A3,2)</f>
        <v>15</v>
      </c>
      <c r="H3" s="17" t="str">
        <f t="shared" ref="H3:H32" si="1">MID(A3,4,3)</f>
        <v>FEB</v>
      </c>
      <c r="I3" s="17" t="str">
        <f t="shared" ref="I3:I32" si="2">G3&amp;"-"&amp;H3&amp;"-"&amp;"2026"</f>
        <v>15-FEB-2026</v>
      </c>
      <c r="J3" t="str">
        <f t="shared" ref="J3:J32" si="3">RIGHT(A3,2)</f>
        <v>US</v>
      </c>
      <c r="K3" t="str">
        <f t="shared" ref="K3:K32" si="4">B3&amp;" " &amp;C3</f>
        <v>Sneakers Nike</v>
      </c>
      <c r="L3" s="6"/>
      <c r="M3" s="6"/>
      <c r="N3" s="6"/>
      <c r="O3" s="6"/>
      <c r="P3" s="6"/>
      <c r="Q3" s="6"/>
      <c r="R3" s="6"/>
    </row>
    <row r="4" spans="1:18" ht="15.75" customHeight="1" x14ac:dyDescent="0.3">
      <c r="A4" s="10" t="s">
        <v>33</v>
      </c>
      <c r="B4" s="10" t="s">
        <v>34</v>
      </c>
      <c r="C4" s="10" t="s">
        <v>35</v>
      </c>
      <c r="D4" s="15">
        <v>130</v>
      </c>
      <c r="E4" s="10">
        <v>40</v>
      </c>
      <c r="F4" s="10" t="s">
        <v>36</v>
      </c>
      <c r="G4" s="17" t="str">
        <f t="shared" si="0"/>
        <v>03</v>
      </c>
      <c r="H4" s="17" t="str">
        <f t="shared" si="1"/>
        <v>MAR</v>
      </c>
      <c r="I4" s="17" t="str">
        <f t="shared" si="2"/>
        <v>03-MAR-2026</v>
      </c>
      <c r="J4" t="str">
        <f t="shared" si="3"/>
        <v>US</v>
      </c>
      <c r="K4" t="str">
        <f t="shared" si="4"/>
        <v>Coffee Maker Keurig</v>
      </c>
      <c r="L4" s="7"/>
      <c r="M4" s="6"/>
      <c r="N4" s="6"/>
      <c r="O4" s="6"/>
      <c r="P4" s="6"/>
      <c r="Q4" s="6"/>
      <c r="R4" s="6"/>
    </row>
    <row r="5" spans="1:18" ht="15.75" customHeight="1" x14ac:dyDescent="0.3">
      <c r="A5" s="11" t="s">
        <v>37</v>
      </c>
      <c r="B5" s="10" t="s">
        <v>96</v>
      </c>
      <c r="C5" s="11" t="s">
        <v>39</v>
      </c>
      <c r="D5" s="16">
        <v>900</v>
      </c>
      <c r="E5" s="11">
        <v>25</v>
      </c>
      <c r="F5" s="11" t="s">
        <v>28</v>
      </c>
      <c r="G5" s="17" t="str">
        <f t="shared" si="0"/>
        <v>11</v>
      </c>
      <c r="H5" s="17" t="str">
        <f t="shared" si="1"/>
        <v>APR</v>
      </c>
      <c r="I5" s="17" t="str">
        <f t="shared" si="2"/>
        <v>11-APR-2026</v>
      </c>
      <c r="J5" t="str">
        <f t="shared" si="3"/>
        <v>US</v>
      </c>
      <c r="K5" t="str">
        <f t="shared" si="4"/>
        <v>Smartphone Samsung</v>
      </c>
      <c r="L5" s="7"/>
      <c r="M5" s="6"/>
      <c r="N5" s="6"/>
      <c r="O5" s="6"/>
      <c r="P5" s="6"/>
      <c r="Q5" s="6"/>
      <c r="R5" s="6"/>
    </row>
    <row r="6" spans="1:18" ht="15.75" customHeight="1" x14ac:dyDescent="0.25">
      <c r="A6" s="10" t="s">
        <v>40</v>
      </c>
      <c r="B6" s="10" t="s">
        <v>41</v>
      </c>
      <c r="C6" s="10" t="s">
        <v>42</v>
      </c>
      <c r="D6" s="15">
        <v>70</v>
      </c>
      <c r="E6" s="10">
        <v>20</v>
      </c>
      <c r="F6" s="10"/>
      <c r="G6" s="17" t="str">
        <f t="shared" si="0"/>
        <v>22</v>
      </c>
      <c r="H6" s="17" t="str">
        <f t="shared" si="1"/>
        <v>MAY</v>
      </c>
      <c r="I6" s="17" t="str">
        <f t="shared" si="2"/>
        <v>22-MAY-2026</v>
      </c>
      <c r="J6" t="str">
        <f t="shared" si="3"/>
        <v>US</v>
      </c>
      <c r="K6" t="str">
        <f t="shared" si="4"/>
        <v>Backpack North Face</v>
      </c>
    </row>
    <row r="7" spans="1:18" ht="15.75" customHeight="1" x14ac:dyDescent="0.25">
      <c r="A7" s="11" t="s">
        <v>43</v>
      </c>
      <c r="B7" s="11" t="s">
        <v>44</v>
      </c>
      <c r="C7" s="11" t="s">
        <v>45</v>
      </c>
      <c r="D7" s="16"/>
      <c r="E7" s="11">
        <v>45</v>
      </c>
      <c r="F7" s="11" t="s">
        <v>28</v>
      </c>
      <c r="G7" s="17" t="str">
        <f t="shared" si="0"/>
        <v>07</v>
      </c>
      <c r="H7" s="17" t="str">
        <f t="shared" si="1"/>
        <v>JUN</v>
      </c>
      <c r="I7" s="17" t="str">
        <f t="shared" si="2"/>
        <v>07-JUN-2026</v>
      </c>
      <c r="J7" t="str">
        <f t="shared" si="3"/>
        <v>UK</v>
      </c>
      <c r="K7" t="str">
        <f t="shared" si="4"/>
        <v>Headphones Sony</v>
      </c>
    </row>
    <row r="8" spans="1:18" ht="15.75" customHeight="1" x14ac:dyDescent="0.25">
      <c r="A8" s="10" t="s">
        <v>47</v>
      </c>
      <c r="B8" s="10" t="s">
        <v>48</v>
      </c>
      <c r="C8" s="10" t="s">
        <v>49</v>
      </c>
      <c r="D8" s="15">
        <v>30</v>
      </c>
      <c r="E8" s="10">
        <v>5</v>
      </c>
      <c r="F8" s="10" t="s">
        <v>32</v>
      </c>
      <c r="G8" s="17" t="str">
        <f t="shared" si="0"/>
        <v>19</v>
      </c>
      <c r="H8" s="17" t="str">
        <f t="shared" si="1"/>
        <v>JUL</v>
      </c>
      <c r="I8" s="17" t="str">
        <f t="shared" si="2"/>
        <v>19-JUL-2026</v>
      </c>
      <c r="J8" t="str">
        <f t="shared" si="3"/>
        <v>UK</v>
      </c>
      <c r="K8" t="str">
        <f t="shared" si="4"/>
        <v>T-shirt Adidas</v>
      </c>
    </row>
    <row r="9" spans="1:18" ht="15.75" customHeight="1" x14ac:dyDescent="0.25">
      <c r="A9" s="11" t="s">
        <v>50</v>
      </c>
      <c r="B9" s="11" t="s">
        <v>51</v>
      </c>
      <c r="C9" s="11" t="s">
        <v>52</v>
      </c>
      <c r="D9" s="16">
        <v>90</v>
      </c>
      <c r="E9" s="11">
        <v>35</v>
      </c>
      <c r="F9" s="11" t="s">
        <v>36</v>
      </c>
      <c r="G9" s="17" t="str">
        <f t="shared" si="0"/>
        <v>23</v>
      </c>
      <c r="H9" s="17" t="str">
        <f t="shared" si="1"/>
        <v>AUG</v>
      </c>
      <c r="I9" s="17" t="str">
        <f t="shared" si="2"/>
        <v>23-AUG-2026</v>
      </c>
      <c r="J9" t="str">
        <f t="shared" si="3"/>
        <v>UK</v>
      </c>
      <c r="K9" t="str">
        <f t="shared" si="4"/>
        <v>Blender Ninja</v>
      </c>
    </row>
    <row r="10" spans="1:18" ht="15.75" customHeight="1" x14ac:dyDescent="0.25">
      <c r="A10" s="10" t="s">
        <v>53</v>
      </c>
      <c r="B10" s="10" t="s">
        <v>54</v>
      </c>
      <c r="C10" s="10" t="s">
        <v>55</v>
      </c>
      <c r="D10" s="15">
        <v>500</v>
      </c>
      <c r="E10" s="10">
        <v>50</v>
      </c>
      <c r="F10" s="10" t="s">
        <v>28</v>
      </c>
      <c r="G10" s="17" t="str">
        <f t="shared" si="0"/>
        <v>05</v>
      </c>
      <c r="H10" s="17" t="str">
        <f t="shared" si="1"/>
        <v>SEP</v>
      </c>
      <c r="I10" s="17" t="str">
        <f t="shared" si="2"/>
        <v>05-SEP-2026</v>
      </c>
      <c r="J10" t="str">
        <f t="shared" si="3"/>
        <v>UK</v>
      </c>
      <c r="K10" t="str">
        <f t="shared" si="4"/>
        <v>Tablet Apple</v>
      </c>
    </row>
    <row r="11" spans="1:18" ht="15.75" customHeight="1" x14ac:dyDescent="0.25">
      <c r="A11" s="11" t="s">
        <v>56</v>
      </c>
      <c r="B11" s="11" t="s">
        <v>57</v>
      </c>
      <c r="C11" s="11" t="s">
        <v>58</v>
      </c>
      <c r="D11" s="16">
        <v>130</v>
      </c>
      <c r="E11" s="11">
        <v>10</v>
      </c>
      <c r="F11" s="11" t="s">
        <v>59</v>
      </c>
      <c r="G11" s="17" t="str">
        <f t="shared" si="0"/>
        <v>14</v>
      </c>
      <c r="H11" s="17" t="str">
        <f t="shared" si="1"/>
        <v>OCT</v>
      </c>
      <c r="I11" s="17" t="str">
        <f t="shared" si="2"/>
        <v>14-OCT-2026</v>
      </c>
      <c r="J11" t="str">
        <f t="shared" si="3"/>
        <v>UK</v>
      </c>
      <c r="K11" t="str">
        <f t="shared" si="4"/>
        <v>Hiking Boots Timberland</v>
      </c>
    </row>
    <row r="12" spans="1:18" ht="15.75" customHeight="1" x14ac:dyDescent="0.25">
      <c r="A12" s="10" t="s">
        <v>60</v>
      </c>
      <c r="B12" s="10" t="s">
        <v>61</v>
      </c>
      <c r="C12" s="10" t="s">
        <v>62</v>
      </c>
      <c r="D12" s="15">
        <v>950</v>
      </c>
      <c r="E12" s="10">
        <v>25</v>
      </c>
      <c r="F12" s="10" t="s">
        <v>28</v>
      </c>
      <c r="G12" s="17" t="str">
        <f t="shared" si="0"/>
        <v>17</v>
      </c>
      <c r="H12" s="17" t="str">
        <f t="shared" si="1"/>
        <v>JUN</v>
      </c>
      <c r="I12" s="17" t="str">
        <f t="shared" si="2"/>
        <v>17-JUN-2026</v>
      </c>
      <c r="J12" t="str">
        <f t="shared" si="3"/>
        <v>IN</v>
      </c>
      <c r="K12" t="str">
        <f t="shared" si="4"/>
        <v>Laptop HP</v>
      </c>
    </row>
    <row r="13" spans="1:18" ht="15.75" customHeight="1" x14ac:dyDescent="0.25">
      <c r="A13" s="11" t="s">
        <v>63</v>
      </c>
      <c r="B13" s="11" t="s">
        <v>30</v>
      </c>
      <c r="C13" s="11" t="s">
        <v>49</v>
      </c>
      <c r="D13" s="16">
        <v>90</v>
      </c>
      <c r="E13" s="11">
        <v>40</v>
      </c>
      <c r="F13" s="11"/>
      <c r="G13" s="17" t="str">
        <f t="shared" si="0"/>
        <v>25</v>
      </c>
      <c r="H13" s="17" t="str">
        <f t="shared" si="1"/>
        <v>NOV</v>
      </c>
      <c r="I13" s="17" t="str">
        <f t="shared" si="2"/>
        <v>25-NOV-2026</v>
      </c>
      <c r="J13" t="str">
        <f t="shared" si="3"/>
        <v>AU</v>
      </c>
      <c r="K13" t="str">
        <f t="shared" si="4"/>
        <v>Sneakers Adidas</v>
      </c>
    </row>
    <row r="14" spans="1:18" ht="15.75" customHeight="1" x14ac:dyDescent="0.25">
      <c r="A14" s="10" t="s">
        <v>64</v>
      </c>
      <c r="B14" s="10" t="s">
        <v>34</v>
      </c>
      <c r="C14" s="10" t="s">
        <v>65</v>
      </c>
      <c r="D14" s="15">
        <v>120</v>
      </c>
      <c r="E14" s="10">
        <v>35</v>
      </c>
      <c r="F14" s="10"/>
      <c r="G14" s="17" t="str">
        <f t="shared" si="0"/>
        <v>08</v>
      </c>
      <c r="H14" s="17" t="str">
        <f t="shared" si="1"/>
        <v>DEC</v>
      </c>
      <c r="I14" s="17" t="str">
        <f t="shared" si="2"/>
        <v>08-DEC-2026</v>
      </c>
      <c r="J14" t="str">
        <f t="shared" si="3"/>
        <v>DE</v>
      </c>
      <c r="K14" t="str">
        <f t="shared" si="4"/>
        <v>Coffee Maker Nespresso</v>
      </c>
    </row>
    <row r="15" spans="1:18" ht="15.75" customHeight="1" x14ac:dyDescent="0.25">
      <c r="A15" s="11" t="s">
        <v>66</v>
      </c>
      <c r="B15" s="11" t="s">
        <v>67</v>
      </c>
      <c r="C15" s="11" t="s">
        <v>68</v>
      </c>
      <c r="D15" s="16">
        <v>150</v>
      </c>
      <c r="E15" s="11">
        <v>15</v>
      </c>
      <c r="F15" s="11" t="s">
        <v>28</v>
      </c>
      <c r="G15" s="17" t="str">
        <f t="shared" si="0"/>
        <v>18</v>
      </c>
      <c r="H15" s="17" t="str">
        <f t="shared" si="1"/>
        <v>FEB</v>
      </c>
      <c r="I15" s="17" t="str">
        <f t="shared" si="2"/>
        <v>18-FEB-2026</v>
      </c>
      <c r="J15" t="str">
        <f t="shared" si="3"/>
        <v>CA</v>
      </c>
      <c r="K15" t="str">
        <f t="shared" si="4"/>
        <v>Smartwatch Fitbit</v>
      </c>
    </row>
    <row r="16" spans="1:18" ht="15.75" customHeight="1" x14ac:dyDescent="0.25">
      <c r="A16" s="10" t="s">
        <v>69</v>
      </c>
      <c r="B16" s="11" t="s">
        <v>44</v>
      </c>
      <c r="C16" s="10" t="s">
        <v>71</v>
      </c>
      <c r="D16" s="15">
        <v>250</v>
      </c>
      <c r="E16" s="10">
        <v>20</v>
      </c>
      <c r="F16" s="10" t="s">
        <v>28</v>
      </c>
      <c r="G16" s="17" t="str">
        <f t="shared" si="0"/>
        <v>16</v>
      </c>
      <c r="H16" s="17" t="str">
        <f t="shared" si="1"/>
        <v>APR</v>
      </c>
      <c r="I16" s="17" t="str">
        <f t="shared" si="2"/>
        <v>16-APR-2026</v>
      </c>
      <c r="J16" t="str">
        <f t="shared" si="3"/>
        <v>ES</v>
      </c>
      <c r="K16" t="str">
        <f t="shared" si="4"/>
        <v>Headphones Bose</v>
      </c>
    </row>
    <row r="17" spans="1:11" ht="15.75" customHeight="1" x14ac:dyDescent="0.25">
      <c r="A17" s="11" t="s">
        <v>72</v>
      </c>
      <c r="B17" s="11" t="s">
        <v>73</v>
      </c>
      <c r="C17" s="11" t="s">
        <v>74</v>
      </c>
      <c r="D17" s="16">
        <v>50</v>
      </c>
      <c r="E17" s="11">
        <v>35</v>
      </c>
      <c r="F17" s="11" t="s">
        <v>75</v>
      </c>
      <c r="G17" s="17" t="str">
        <f t="shared" si="0"/>
        <v>21</v>
      </c>
      <c r="H17" s="17" t="str">
        <f t="shared" si="1"/>
        <v>AUG</v>
      </c>
      <c r="I17" s="17" t="str">
        <f t="shared" si="2"/>
        <v>21-AUG-2026</v>
      </c>
      <c r="J17" t="str">
        <f t="shared" si="3"/>
        <v>CA</v>
      </c>
      <c r="K17" t="str">
        <f t="shared" si="4"/>
        <v>Laptop Bag Samsonite</v>
      </c>
    </row>
    <row r="18" spans="1:11" ht="15.75" customHeight="1" x14ac:dyDescent="0.25">
      <c r="A18" s="10" t="s">
        <v>76</v>
      </c>
      <c r="B18" s="10" t="s">
        <v>67</v>
      </c>
      <c r="C18" s="10" t="s">
        <v>77</v>
      </c>
      <c r="D18" s="15">
        <v>160</v>
      </c>
      <c r="E18" s="10">
        <v>15</v>
      </c>
      <c r="F18" s="10" t="s">
        <v>28</v>
      </c>
      <c r="G18" s="17" t="str">
        <f t="shared" si="0"/>
        <v>20</v>
      </c>
      <c r="H18" s="17" t="str">
        <f t="shared" si="1"/>
        <v>AUG</v>
      </c>
      <c r="I18" s="17" t="str">
        <f t="shared" si="2"/>
        <v>20-AUG-2026</v>
      </c>
      <c r="J18" t="str">
        <f t="shared" si="3"/>
        <v>CN</v>
      </c>
      <c r="K18" t="str">
        <f t="shared" si="4"/>
        <v>Smartwatch Huawei</v>
      </c>
    </row>
    <row r="19" spans="1:11" ht="15.75" customHeight="1" x14ac:dyDescent="0.25">
      <c r="A19" s="11" t="s">
        <v>78</v>
      </c>
      <c r="B19" s="10" t="s">
        <v>61</v>
      </c>
      <c r="C19" s="11" t="s">
        <v>79</v>
      </c>
      <c r="D19" s="16">
        <v>980</v>
      </c>
      <c r="E19" s="11">
        <v>10</v>
      </c>
      <c r="F19" s="11" t="s">
        <v>28</v>
      </c>
      <c r="G19" s="17" t="str">
        <f t="shared" si="0"/>
        <v>27</v>
      </c>
      <c r="H19" s="17" t="str">
        <f t="shared" si="1"/>
        <v>JAN</v>
      </c>
      <c r="I19" s="17" t="str">
        <f t="shared" si="2"/>
        <v>27-JAN-2026</v>
      </c>
      <c r="J19" t="str">
        <f t="shared" si="3"/>
        <v>IT</v>
      </c>
      <c r="K19" t="str">
        <f t="shared" si="4"/>
        <v>Laptop Asus</v>
      </c>
    </row>
    <row r="20" spans="1:11" ht="15.75" customHeight="1" x14ac:dyDescent="0.25">
      <c r="A20" s="10" t="s">
        <v>80</v>
      </c>
      <c r="B20" s="10" t="s">
        <v>81</v>
      </c>
      <c r="C20" s="10" t="s">
        <v>82</v>
      </c>
      <c r="D20" s="15">
        <v>150</v>
      </c>
      <c r="E20" s="10">
        <v>15</v>
      </c>
      <c r="F20" s="10" t="s">
        <v>32</v>
      </c>
      <c r="G20" s="17" t="str">
        <f t="shared" si="0"/>
        <v>01</v>
      </c>
      <c r="H20" s="17" t="str">
        <f t="shared" si="1"/>
        <v>MAR</v>
      </c>
      <c r="I20" s="17" t="str">
        <f t="shared" si="2"/>
        <v>01-MAR-2026</v>
      </c>
      <c r="J20" t="str">
        <f t="shared" si="3"/>
        <v>UK</v>
      </c>
      <c r="K20" t="str">
        <f t="shared" si="4"/>
        <v>Sunglasses Oakley</v>
      </c>
    </row>
    <row r="21" spans="1:11" ht="15.75" customHeight="1" x14ac:dyDescent="0.25">
      <c r="A21" s="11" t="s">
        <v>83</v>
      </c>
      <c r="B21" s="11" t="s">
        <v>84</v>
      </c>
      <c r="C21" s="11" t="s">
        <v>85</v>
      </c>
      <c r="D21" s="16"/>
      <c r="E21" s="11">
        <v>10</v>
      </c>
      <c r="F21" s="11" t="s">
        <v>59</v>
      </c>
      <c r="G21" s="17" t="str">
        <f t="shared" si="0"/>
        <v>14</v>
      </c>
      <c r="H21" s="17" t="str">
        <f t="shared" si="1"/>
        <v>AUG</v>
      </c>
      <c r="I21" s="17" t="str">
        <f t="shared" si="2"/>
        <v>14-AUG-2026</v>
      </c>
      <c r="J21" t="str">
        <f t="shared" si="3"/>
        <v>US</v>
      </c>
      <c r="K21" t="str">
        <f t="shared" si="4"/>
        <v>Camping Tent Coleman</v>
      </c>
    </row>
    <row r="22" spans="1:11" ht="15.75" customHeight="1" x14ac:dyDescent="0.25">
      <c r="A22" s="10" t="s">
        <v>86</v>
      </c>
      <c r="B22" s="10" t="s">
        <v>87</v>
      </c>
      <c r="C22" s="10" t="s">
        <v>88</v>
      </c>
      <c r="D22" s="15">
        <v>700</v>
      </c>
      <c r="E22" s="10">
        <v>50</v>
      </c>
      <c r="F22" s="10" t="s">
        <v>28</v>
      </c>
      <c r="G22" s="17" t="str">
        <f t="shared" si="0"/>
        <v>14</v>
      </c>
      <c r="H22" s="17" t="str">
        <f t="shared" si="1"/>
        <v>MAY</v>
      </c>
      <c r="I22" s="17" t="str">
        <f t="shared" si="2"/>
        <v>14-MAY-2026</v>
      </c>
      <c r="J22" t="str">
        <f t="shared" si="3"/>
        <v>RU</v>
      </c>
      <c r="K22" t="str">
        <f t="shared" si="4"/>
        <v>Camera Nikon</v>
      </c>
    </row>
    <row r="23" spans="1:11" ht="15.75" customHeight="1" x14ac:dyDescent="0.25">
      <c r="A23" s="11" t="s">
        <v>89</v>
      </c>
      <c r="B23" s="11" t="s">
        <v>90</v>
      </c>
      <c r="C23" s="11" t="s">
        <v>91</v>
      </c>
      <c r="D23" s="16">
        <v>80</v>
      </c>
      <c r="E23" s="11">
        <v>20</v>
      </c>
      <c r="F23" s="11" t="s">
        <v>36</v>
      </c>
      <c r="G23" s="17" t="str">
        <f t="shared" si="0"/>
        <v>09</v>
      </c>
      <c r="H23" s="17" t="str">
        <f t="shared" si="1"/>
        <v>JAN</v>
      </c>
      <c r="I23" s="17" t="str">
        <f t="shared" si="2"/>
        <v>09-JAN-2026</v>
      </c>
      <c r="J23" t="str">
        <f t="shared" si="3"/>
        <v>CA</v>
      </c>
      <c r="K23" t="str">
        <f t="shared" si="4"/>
        <v>Microwave Panasonic</v>
      </c>
    </row>
    <row r="24" spans="1:11" ht="15.75" customHeight="1" x14ac:dyDescent="0.25">
      <c r="A24" s="10" t="s">
        <v>92</v>
      </c>
      <c r="B24" s="10" t="s">
        <v>93</v>
      </c>
      <c r="C24" s="10" t="s">
        <v>94</v>
      </c>
      <c r="D24" s="15">
        <v>150</v>
      </c>
      <c r="E24" s="10">
        <v>30</v>
      </c>
      <c r="F24" s="10"/>
      <c r="G24" s="17" t="str">
        <f t="shared" si="0"/>
        <v>19</v>
      </c>
      <c r="H24" s="17" t="str">
        <f t="shared" si="1"/>
        <v>JUL</v>
      </c>
      <c r="I24" s="17" t="str">
        <f t="shared" si="2"/>
        <v>19-JUL-2026</v>
      </c>
      <c r="J24" t="str">
        <f t="shared" si="3"/>
        <v>BR</v>
      </c>
      <c r="K24" t="str">
        <f t="shared" si="4"/>
        <v>Fitness Tracker Xiaomi</v>
      </c>
    </row>
    <row r="25" spans="1:11" ht="15.75" customHeight="1" x14ac:dyDescent="0.25">
      <c r="A25" s="10" t="s">
        <v>95</v>
      </c>
      <c r="B25" s="10" t="s">
        <v>96</v>
      </c>
      <c r="C25" s="10" t="s">
        <v>97</v>
      </c>
      <c r="D25" s="15">
        <v>800</v>
      </c>
      <c r="E25" s="10">
        <v>45</v>
      </c>
      <c r="F25" s="10" t="s">
        <v>28</v>
      </c>
      <c r="G25" s="17" t="str">
        <f t="shared" si="0"/>
        <v>29</v>
      </c>
      <c r="H25" s="17" t="str">
        <f t="shared" si="1"/>
        <v>SEP</v>
      </c>
      <c r="I25" s="17" t="str">
        <f t="shared" si="2"/>
        <v>29-SEP-2026</v>
      </c>
      <c r="J25" t="str">
        <f t="shared" si="3"/>
        <v>CA</v>
      </c>
      <c r="K25" t="str">
        <f t="shared" si="4"/>
        <v>Smartphone Google</v>
      </c>
    </row>
    <row r="26" spans="1:11" ht="15.75" customHeight="1" x14ac:dyDescent="0.25">
      <c r="A26" s="11" t="s">
        <v>98</v>
      </c>
      <c r="B26" s="11" t="s">
        <v>81</v>
      </c>
      <c r="C26" s="11" t="s">
        <v>99</v>
      </c>
      <c r="D26" s="16"/>
      <c r="E26" s="11">
        <v>25</v>
      </c>
      <c r="F26" s="11" t="s">
        <v>32</v>
      </c>
      <c r="G26" s="17" t="str">
        <f t="shared" si="0"/>
        <v>03</v>
      </c>
      <c r="H26" s="17" t="str">
        <f t="shared" si="1"/>
        <v>JUN</v>
      </c>
      <c r="I26" s="17" t="str">
        <f t="shared" si="2"/>
        <v>03-JUN-2026</v>
      </c>
      <c r="J26" t="str">
        <f t="shared" si="3"/>
        <v>CA</v>
      </c>
      <c r="K26" t="str">
        <f t="shared" si="4"/>
        <v>Sunglasses Ray-Ban</v>
      </c>
    </row>
    <row r="27" spans="1:11" ht="15.75" customHeight="1" x14ac:dyDescent="0.25">
      <c r="A27" s="10" t="s">
        <v>100</v>
      </c>
      <c r="B27" s="10" t="s">
        <v>51</v>
      </c>
      <c r="C27" s="10" t="s">
        <v>101</v>
      </c>
      <c r="D27" s="15">
        <v>400</v>
      </c>
      <c r="E27" s="10">
        <v>40</v>
      </c>
      <c r="F27" s="10" t="s">
        <v>36</v>
      </c>
      <c r="G27" s="17" t="str">
        <f t="shared" si="0"/>
        <v>11</v>
      </c>
      <c r="H27" s="17" t="str">
        <f t="shared" si="1"/>
        <v>JUL</v>
      </c>
      <c r="I27" s="17" t="str">
        <f t="shared" si="2"/>
        <v>11-JUL-2026</v>
      </c>
      <c r="J27" t="str">
        <f t="shared" si="3"/>
        <v>CA</v>
      </c>
      <c r="K27" t="str">
        <f t="shared" si="4"/>
        <v>Blender Vitamix</v>
      </c>
    </row>
    <row r="28" spans="1:11" ht="15.75" customHeight="1" x14ac:dyDescent="0.25">
      <c r="A28" s="10" t="s">
        <v>102</v>
      </c>
      <c r="B28" s="10" t="s">
        <v>103</v>
      </c>
      <c r="C28" s="10" t="s">
        <v>104</v>
      </c>
      <c r="D28" s="15">
        <v>60</v>
      </c>
      <c r="E28" s="10">
        <v>30</v>
      </c>
      <c r="F28" s="10" t="s">
        <v>32</v>
      </c>
      <c r="G28" s="17" t="str">
        <f t="shared" si="0"/>
        <v>07</v>
      </c>
      <c r="H28" s="17" t="str">
        <f t="shared" si="1"/>
        <v>MAR</v>
      </c>
      <c r="I28" s="17" t="str">
        <f t="shared" si="2"/>
        <v>07-MAR-2026</v>
      </c>
      <c r="J28" t="str">
        <f t="shared" si="3"/>
        <v>CA</v>
      </c>
      <c r="K28" t="str">
        <f t="shared" si="4"/>
        <v>Dress Zara</v>
      </c>
    </row>
    <row r="29" spans="1:11" ht="15.75" customHeight="1" x14ac:dyDescent="0.25">
      <c r="A29" s="11" t="s">
        <v>105</v>
      </c>
      <c r="B29" s="11" t="s">
        <v>106</v>
      </c>
      <c r="C29" s="11" t="s">
        <v>107</v>
      </c>
      <c r="D29" s="16">
        <v>40</v>
      </c>
      <c r="E29" s="11">
        <v>10</v>
      </c>
      <c r="F29" s="11" t="s">
        <v>36</v>
      </c>
      <c r="G29" s="17" t="str">
        <f t="shared" si="0"/>
        <v>13</v>
      </c>
      <c r="H29" s="17" t="str">
        <f t="shared" si="1"/>
        <v>APR</v>
      </c>
      <c r="I29" s="17" t="str">
        <f t="shared" si="2"/>
        <v>13-APR-2026</v>
      </c>
      <c r="J29" t="str">
        <f t="shared" si="3"/>
        <v>CA</v>
      </c>
      <c r="K29" t="str">
        <f t="shared" si="4"/>
        <v>Toaster Hamilton</v>
      </c>
    </row>
    <row r="30" spans="1:11" ht="15.75" customHeight="1" x14ac:dyDescent="0.25">
      <c r="A30" s="10" t="s">
        <v>108</v>
      </c>
      <c r="B30" s="10" t="s">
        <v>93</v>
      </c>
      <c r="C30" s="10" t="s">
        <v>109</v>
      </c>
      <c r="D30" s="15">
        <v>130</v>
      </c>
      <c r="E30" s="10">
        <v>5</v>
      </c>
      <c r="F30" s="10" t="s">
        <v>28</v>
      </c>
      <c r="G30" s="17" t="str">
        <f t="shared" si="0"/>
        <v>24</v>
      </c>
      <c r="H30" s="17" t="str">
        <f t="shared" si="1"/>
        <v>MAY</v>
      </c>
      <c r="I30" s="17" t="str">
        <f t="shared" si="2"/>
        <v>24-MAY-2026</v>
      </c>
      <c r="J30" t="str">
        <f t="shared" si="3"/>
        <v>CA</v>
      </c>
      <c r="K30" t="str">
        <f t="shared" si="4"/>
        <v>Fitness Tracker Garmin</v>
      </c>
    </row>
    <row r="31" spans="1:11" ht="15.75" customHeight="1" x14ac:dyDescent="0.25">
      <c r="A31" s="11" t="s">
        <v>110</v>
      </c>
      <c r="B31" s="11" t="s">
        <v>111</v>
      </c>
      <c r="C31" s="11" t="s">
        <v>112</v>
      </c>
      <c r="D31" s="16">
        <v>50</v>
      </c>
      <c r="E31" s="11">
        <v>50</v>
      </c>
      <c r="F31" s="11" t="s">
        <v>32</v>
      </c>
      <c r="G31" s="17" t="str">
        <f t="shared" si="0"/>
        <v>02</v>
      </c>
      <c r="H31" s="17" t="str">
        <f t="shared" si="1"/>
        <v>DEC</v>
      </c>
      <c r="I31" s="17" t="str">
        <f t="shared" si="2"/>
        <v>02-DEC-2026</v>
      </c>
      <c r="J31" t="str">
        <f t="shared" si="3"/>
        <v>CA</v>
      </c>
      <c r="K31" t="str">
        <f t="shared" si="4"/>
        <v>Jeans Levi's</v>
      </c>
    </row>
    <row r="32" spans="1:11" ht="15.75" customHeight="1" x14ac:dyDescent="0.25">
      <c r="A32" s="11" t="s">
        <v>113</v>
      </c>
      <c r="B32" s="11" t="s">
        <v>114</v>
      </c>
      <c r="C32" s="11" t="s">
        <v>115</v>
      </c>
      <c r="D32" s="16">
        <v>100</v>
      </c>
      <c r="E32" s="11">
        <v>20</v>
      </c>
      <c r="F32" s="11" t="s">
        <v>75</v>
      </c>
      <c r="G32" s="17" t="str">
        <f t="shared" si="0"/>
        <v>09</v>
      </c>
      <c r="H32" s="17" t="str">
        <f t="shared" si="1"/>
        <v>JUL</v>
      </c>
      <c r="I32" s="17" t="str">
        <f t="shared" si="2"/>
        <v>09-JUL-2026</v>
      </c>
      <c r="J32" t="str">
        <f t="shared" si="3"/>
        <v>FR</v>
      </c>
      <c r="K32" t="str">
        <f t="shared" si="4"/>
        <v>Watch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2">
    <cfRule type="expression" dxfId="0" priority="1">
      <formula>F2="Electronics"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Answer 1(a,b)2(a,b)</vt:lpstr>
      <vt:lpstr>Ans 2(c), 3, 4, 5,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Krishna Naveen Krishna</dc:creator>
  <cp:lastModifiedBy>Naveen Krishna Naveen Krishna</cp:lastModifiedBy>
  <dcterms:created xsi:type="dcterms:W3CDTF">2026-10-16T18:20:40Z</dcterms:created>
  <dcterms:modified xsi:type="dcterms:W3CDTF">2026-10-16T18:20:40Z</dcterms:modified>
</cp:coreProperties>
</file>